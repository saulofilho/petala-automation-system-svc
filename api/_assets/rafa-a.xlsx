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f03b0e80999a52/Documentos/Pétala/CNA/2025/"/>
    </mc:Choice>
  </mc:AlternateContent>
  <xr:revisionPtr revIDLastSave="4" documentId="8_{B8C5E171-6D98-4DDF-A844-59362B27A1E6}" xr6:coauthVersionLast="47" xr6:coauthVersionMax="47" xr10:uidLastSave="{D389843E-B9D9-413A-BD3E-38F44E8D2DB3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21" i="1"/>
  <c r="E34" i="1"/>
  <c r="E33" i="1"/>
  <c r="E32" i="1"/>
  <c r="E31" i="1"/>
  <c r="E30" i="1"/>
  <c r="E29" i="1"/>
  <c r="E28" i="1"/>
  <c r="E27" i="1"/>
  <c r="E26" i="1"/>
  <c r="E24" i="1"/>
  <c r="E23" i="1"/>
  <c r="E22" i="1"/>
  <c r="E25" i="1" l="1"/>
  <c r="E17" i="1"/>
  <c r="E16" i="1"/>
  <c r="E15" i="1"/>
  <c r="E14" i="1"/>
  <c r="E13" i="1"/>
  <c r="E12" i="1"/>
  <c r="E11" i="1"/>
  <c r="E10" i="1" l="1"/>
  <c r="E9" i="1"/>
  <c r="E8" i="1"/>
  <c r="E7" i="1"/>
  <c r="E6" i="1"/>
  <c r="E5" i="1"/>
  <c r="E4" i="1"/>
  <c r="E36" i="1" l="1"/>
</calcChain>
</file>

<file path=xl/sharedStrings.xml><?xml version="1.0" encoding="utf-8"?>
<sst xmlns="http://schemas.openxmlformats.org/spreadsheetml/2006/main" count="43" uniqueCount="43">
  <si>
    <t>Código</t>
  </si>
  <si>
    <t>Descrição</t>
  </si>
  <si>
    <t xml:space="preserve">CX.GEL ACENDEDOR ZULU EVOL. 12X500G                                                                     </t>
  </si>
  <si>
    <t xml:space="preserve">CX COPERALCOOL BACFREE CLÁSSICO 46° INPM 12 X 1 L                                                                  </t>
  </si>
  <si>
    <t xml:space="preserve">CX COPERALCOOL BACFREE CLÁSSICO 46° INPM 12 X 500 ML                                                               </t>
  </si>
  <si>
    <t xml:space="preserve">CX COPERALCOOL BACFREE BRISA DE EUCALIPTO 46° INPM 12 X 500 ML                                                               </t>
  </si>
  <si>
    <t xml:space="preserve">CX. COPERACOOL BACFREE GEL 70 INPM - CLASSICO - 12X500G                                             </t>
  </si>
  <si>
    <t>COPERALCOOL GEL HIGIENIZADOR DE MÃOS 70° INPM - 400 g</t>
  </si>
  <si>
    <t>CX LIMPA VIDROS COPERALCOOL SQUEEZE - 12X 500 ml</t>
  </si>
  <si>
    <t>Quantidade</t>
  </si>
  <si>
    <t>Total</t>
  </si>
  <si>
    <t>ALCOOL GEL HIGIENIZADOR DE MAOS 70 INPM COPERALCOOL BACFREE OCEANO 12X400G</t>
  </si>
  <si>
    <t>ALCOOL COPERALCOOL BACFREE SPRAY ANTISSEPTICO PARA MÃOS 12X60MLX2</t>
  </si>
  <si>
    <t>ALCOOL COPERALCOOL BACFREE SPRAY ANTISSEPTICO PARA MÃOS SORTIDO PERFUMADO 2X12X60ML</t>
  </si>
  <si>
    <t>Preço CIF  (IPI+ST)</t>
  </si>
  <si>
    <t>LIMPADOR MULTISSUPERFICIE COPERALCOOL BACFREE SEGREDOS DA NATUREZA FRESCOR DAS AGUAS 500ML</t>
  </si>
  <si>
    <t>ESSENCIA LIMP COALA ALGAS MARINHAS 24X120ML</t>
  </si>
  <si>
    <t xml:space="preserve">ALCOOL COM BICARBONATO DA ILHA - LIMPADOR DE USO GERAL - 12X1L </t>
  </si>
  <si>
    <t xml:space="preserve">ALCOOL COM BICARBONATO DA ILHA EUCALIPTO - LIMPADOR DE USO GERAL - 12X1L </t>
  </si>
  <si>
    <t>ALCOOL COM BICARBONATO DA ILHA LAVANDA - LIMPADOR DE US O GERAL - 12X1L</t>
  </si>
  <si>
    <t>ODORIZANTE SPRAY BAMBU 120ML 24FR</t>
  </si>
  <si>
    <t xml:space="preserve">ODORIZANTE SPRAY TOQUE DE CARINHO 120ML </t>
  </si>
  <si>
    <t>ODORIZANTE SPRAY LAVANDA 120ML 24FR</t>
  </si>
  <si>
    <t>ODORIZANTE SPRAY CAPIM LIMAO 120ML 24FR</t>
  </si>
  <si>
    <t>ESSENCIA LIMP.CONC.COALA EMB. LAVANDA 120ML 8X3</t>
  </si>
  <si>
    <t>ESSENCIA LIMP.CONC.COALA EMB. TALCO 120ML 8X3</t>
  </si>
  <si>
    <t xml:space="preserve"> ESSENCIA LIMP.CONC.COALA EMB. CITRONELA 120ML 8X3</t>
  </si>
  <si>
    <t>ESSENCIA LIMP.CONC.COALA EMB. CAPIM LIMAO 120ML 8X3</t>
  </si>
  <si>
    <t>ESSENCIA LIMP.CONC.COALA EMB. BAMBU 120ML 8X3</t>
  </si>
  <si>
    <t>DIFUSOR DE AROMAS TROPICAL 100ML CX12 (NOVA EMB.)</t>
  </si>
  <si>
    <t>DIFUSOR DE AROMAS LAVANDA 100ML CX12 (NOVA EMB.)</t>
  </si>
  <si>
    <t>DIFUSOR DE AROMAS CAPIM LIMAO 100ML CX12 (NOVA EMB.)</t>
  </si>
  <si>
    <t>DIFUSOR DE AROMAS BAMBU 100ML CX12</t>
  </si>
  <si>
    <t>Prazo CNA 35 dias - Pedido mínimo R$3.500,00</t>
  </si>
  <si>
    <t>PEDIDO MÍNIMO R$ 3.500,00</t>
  </si>
  <si>
    <t>7 896090704705</t>
  </si>
  <si>
    <t>EAN</t>
  </si>
  <si>
    <t>NCM</t>
  </si>
  <si>
    <t>ALCOOL ETILICO LIQUIDO PARA LIMPEZA 46 INPM MULTIALCOOL 12X1000 ML</t>
  </si>
  <si>
    <t>ALCOOL ETILICO LIQUIDO PARA LIMPEZA 46 INPM ZULU BACTERICIDA 12X1L</t>
  </si>
  <si>
    <t>7 896090703944</t>
  </si>
  <si>
    <t>ALCOOL ETILICO LIQUIDO PARA LIMPEZA 46 INPM ZUMBI 12X1L</t>
  </si>
  <si>
    <t xml:space="preserve"> 7 896090704804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</si>
</sst>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201F1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/>
    </xf>
    <xf numFmtId="164" fontId="0" fillId="2" borderId="0" xfId="0" applyNumberFormat="1" applyFill="1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5" fillId="0" borderId="1" xfId="1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2" borderId="1" xfId="0" applyFont="1" applyFill="1" applyBorder="1"/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tabSelected="1" topLeftCell="A15" zoomScale="110" zoomScaleNormal="110" workbookViewId="0">
      <selection activeCell="F27" sqref="F27"/>
    </sheetView>
  </sheetViews>
  <sheetFormatPr defaultColWidth="116.88671875" defaultRowHeight="14.4" x14ac:dyDescent="0.3"/>
  <cols>
    <col min="1" max="1" width="8" style="1" bestFit="1" customWidth="1"/>
    <col min="2" max="2" width="98" style="1" bestFit="1" customWidth="1"/>
    <col min="3" max="3" width="14.6640625" style="1" bestFit="1" customWidth="1"/>
    <col min="4" max="5" width="11.6640625" style="1" customWidth="1"/>
    <col min="6" max="6" width="16.21875" style="1" customWidth="1"/>
    <col min="7" max="7" width="17.44140625" style="1" customWidth="1"/>
    <col min="8" max="16384" width="116.88671875" style="1"/>
  </cols>
  <sheetData>
    <row r="1" spans="1:7" ht="38.25" customHeight="1" x14ac:dyDescent="0.3">
      <c r="A1" s="16"/>
      <c r="B1" s="17"/>
      <c r="C1" s="17"/>
      <c r="D1" s="17"/>
      <c r="E1" s="17"/>
    </row>
    <row r="2" spans="1:7" x14ac:dyDescent="0.3">
      <c r="A2" s="11"/>
      <c r="B2" s="14" t="s">
        <v>33</v>
      </c>
      <c r="C2" s="15"/>
      <c r="D2" s="15"/>
      <c r="E2" s="15"/>
      <c r="F2" s="10" t="s">
        <v>36</v>
      </c>
      <c r="G2" s="10" t="s">
        <v>37</v>
      </c>
    </row>
    <row r="3" spans="1:7" x14ac:dyDescent="0.3">
      <c r="A3" s="4" t="s">
        <v>0</v>
      </c>
      <c r="B3" s="4" t="s">
        <v>1</v>
      </c>
      <c r="C3" s="4" t="s">
        <v>14</v>
      </c>
      <c r="D3" s="4" t="s">
        <v>9</v>
      </c>
      <c r="E3" s="4" t="s">
        <v>10</v>
      </c>
      <c r="F3" s="10"/>
      <c r="G3" s="10"/>
    </row>
    <row r="4" spans="1:7" x14ac:dyDescent="0.3">
      <c r="A4" s="5">
        <v>464</v>
      </c>
      <c r="B4" s="5" t="s">
        <v>2</v>
      </c>
      <c r="C4" s="6">
        <v>86.61</v>
      </c>
      <c r="D4" s="6"/>
      <c r="E4" s="6">
        <f t="shared" ref="E4:E10" si="0">C4*D4</f>
        <v>0</v>
      </c>
      <c r="F4" s="10"/>
      <c r="G4" s="10"/>
    </row>
    <row r="5" spans="1:7" x14ac:dyDescent="0.3">
      <c r="A5" s="7">
        <v>360</v>
      </c>
      <c r="B5" s="8" t="s">
        <v>3</v>
      </c>
      <c r="C5" s="6">
        <v>113.07</v>
      </c>
      <c r="D5" s="6"/>
      <c r="E5" s="6">
        <f t="shared" si="0"/>
        <v>0</v>
      </c>
      <c r="F5" s="10"/>
      <c r="G5" s="10"/>
    </row>
    <row r="6" spans="1:7" x14ac:dyDescent="0.3">
      <c r="A6" s="7">
        <v>361</v>
      </c>
      <c r="B6" s="8" t="s">
        <v>4</v>
      </c>
      <c r="C6" s="6">
        <v>67.849999999999994</v>
      </c>
      <c r="D6" s="6"/>
      <c r="E6" s="6">
        <f t="shared" si="0"/>
        <v>0</v>
      </c>
      <c r="F6" s="10"/>
      <c r="G6" s="10"/>
    </row>
    <row r="7" spans="1:7" x14ac:dyDescent="0.3">
      <c r="A7" s="7">
        <v>363</v>
      </c>
      <c r="B7" s="8" t="s">
        <v>5</v>
      </c>
      <c r="C7" s="6">
        <v>67.849999999999994</v>
      </c>
      <c r="D7" s="6"/>
      <c r="E7" s="6">
        <f t="shared" si="0"/>
        <v>0</v>
      </c>
      <c r="F7" s="10"/>
      <c r="G7" s="10"/>
    </row>
    <row r="8" spans="1:7" x14ac:dyDescent="0.3">
      <c r="A8" s="5">
        <v>446</v>
      </c>
      <c r="B8" s="5" t="s">
        <v>7</v>
      </c>
      <c r="C8" s="6">
        <v>146.35</v>
      </c>
      <c r="D8" s="6"/>
      <c r="E8" s="6">
        <f t="shared" si="0"/>
        <v>0</v>
      </c>
      <c r="F8" s="10"/>
      <c r="G8" s="10"/>
    </row>
    <row r="9" spans="1:7" x14ac:dyDescent="0.3">
      <c r="A9" s="5">
        <v>454</v>
      </c>
      <c r="B9" s="8" t="s">
        <v>6</v>
      </c>
      <c r="C9" s="6">
        <v>106.73</v>
      </c>
      <c r="D9" s="6"/>
      <c r="E9" s="6">
        <f t="shared" si="0"/>
        <v>0</v>
      </c>
      <c r="F9" s="10"/>
      <c r="G9" s="10"/>
    </row>
    <row r="10" spans="1:7" x14ac:dyDescent="0.3">
      <c r="A10" s="5">
        <v>782</v>
      </c>
      <c r="B10" s="5" t="s">
        <v>8</v>
      </c>
      <c r="C10" s="6">
        <v>61.59</v>
      </c>
      <c r="D10" s="6"/>
      <c r="E10" s="6">
        <f t="shared" si="0"/>
        <v>0</v>
      </c>
      <c r="F10" s="10"/>
      <c r="G10" s="10"/>
    </row>
    <row r="11" spans="1:7" x14ac:dyDescent="0.3">
      <c r="A11" s="5">
        <v>516</v>
      </c>
      <c r="B11" s="7" t="s">
        <v>11</v>
      </c>
      <c r="C11" s="6">
        <v>146.35</v>
      </c>
      <c r="D11" s="6"/>
      <c r="E11" s="6">
        <f t="shared" ref="E11:E25" si="1">C11*D11</f>
        <v>0</v>
      </c>
      <c r="F11" s="10"/>
      <c r="G11" s="10"/>
    </row>
    <row r="12" spans="1:7" x14ac:dyDescent="0.3">
      <c r="A12" s="5">
        <v>441</v>
      </c>
      <c r="B12" s="7" t="s">
        <v>12</v>
      </c>
      <c r="C12" s="6">
        <v>95.3</v>
      </c>
      <c r="D12" s="6"/>
      <c r="E12" s="6">
        <f t="shared" si="1"/>
        <v>0</v>
      </c>
      <c r="F12" s="10"/>
      <c r="G12" s="10"/>
    </row>
    <row r="13" spans="1:7" x14ac:dyDescent="0.3">
      <c r="A13" s="5">
        <v>440</v>
      </c>
      <c r="B13" s="7" t="s">
        <v>13</v>
      </c>
      <c r="C13" s="6">
        <v>95.3</v>
      </c>
      <c r="D13" s="6"/>
      <c r="E13" s="6">
        <f t="shared" si="1"/>
        <v>0</v>
      </c>
      <c r="F13" s="10"/>
      <c r="G13" s="10"/>
    </row>
    <row r="14" spans="1:7" x14ac:dyDescent="0.3">
      <c r="A14" s="5">
        <v>944</v>
      </c>
      <c r="B14" s="8" t="s">
        <v>17</v>
      </c>
      <c r="C14" s="6">
        <v>81.14</v>
      </c>
      <c r="D14" s="6"/>
      <c r="E14" s="6">
        <f t="shared" si="1"/>
        <v>0</v>
      </c>
      <c r="F14" s="10"/>
      <c r="G14" s="10"/>
    </row>
    <row r="15" spans="1:7" x14ac:dyDescent="0.3">
      <c r="A15" s="5">
        <v>946</v>
      </c>
      <c r="B15" s="8" t="s">
        <v>18</v>
      </c>
      <c r="C15" s="6">
        <v>81.14</v>
      </c>
      <c r="D15" s="6"/>
      <c r="E15" s="6">
        <f t="shared" si="1"/>
        <v>0</v>
      </c>
      <c r="F15" s="10"/>
      <c r="G15" s="10"/>
    </row>
    <row r="16" spans="1:7" x14ac:dyDescent="0.3">
      <c r="A16" s="5">
        <v>948</v>
      </c>
      <c r="B16" s="9" t="s">
        <v>19</v>
      </c>
      <c r="C16" s="6">
        <v>81.14</v>
      </c>
      <c r="D16" s="6"/>
      <c r="E16" s="6">
        <f t="shared" si="1"/>
        <v>0</v>
      </c>
      <c r="F16" s="10"/>
      <c r="G16" s="10"/>
    </row>
    <row r="17" spans="1:7" x14ac:dyDescent="0.3">
      <c r="A17" s="5">
        <v>787</v>
      </c>
      <c r="B17" s="9" t="s">
        <v>15</v>
      </c>
      <c r="C17" s="6">
        <v>132.16999999999999</v>
      </c>
      <c r="D17" s="6"/>
      <c r="E17" s="6">
        <f t="shared" si="1"/>
        <v>0</v>
      </c>
      <c r="F17" s="10"/>
      <c r="G17" s="10"/>
    </row>
    <row r="18" spans="1:7" x14ac:dyDescent="0.3">
      <c r="A18" s="5">
        <v>470</v>
      </c>
      <c r="B18" s="12" t="s">
        <v>39</v>
      </c>
      <c r="C18" s="6">
        <v>101.77</v>
      </c>
      <c r="D18" s="6"/>
      <c r="E18" s="6">
        <f>C18*D18</f>
        <v>0</v>
      </c>
      <c r="F18" s="11" t="s">
        <v>35</v>
      </c>
      <c r="G18" s="11">
        <v>38089419</v>
      </c>
    </row>
    <row r="19" spans="1:7" x14ac:dyDescent="0.3">
      <c r="A19" s="5">
        <v>394</v>
      </c>
      <c r="B19" s="12" t="s">
        <v>38</v>
      </c>
      <c r="C19" s="6">
        <v>109.44</v>
      </c>
      <c r="D19" s="6"/>
      <c r="E19" s="6">
        <f>C19*D19</f>
        <v>0</v>
      </c>
      <c r="F19" s="11" t="s">
        <v>40</v>
      </c>
      <c r="G19" s="11">
        <v>22072019</v>
      </c>
    </row>
    <row r="20" spans="1:7" x14ac:dyDescent="0.3">
      <c r="A20" s="5">
        <v>480</v>
      </c>
      <c r="B20" s="12" t="s">
        <v>41</v>
      </c>
      <c r="C20" s="6">
        <v>109.44</v>
      </c>
      <c r="D20" s="6"/>
      <c r="E20" s="6">
        <f>C20*D20</f>
        <v>0</v>
      </c>
      <c r="F20" s="11" t="s">
        <v>42</v>
      </c>
      <c r="G20" s="11">
        <v>22072019</v>
      </c>
    </row>
    <row r="21" spans="1:7" x14ac:dyDescent="0.3">
      <c r="A21" s="5">
        <v>3106008</v>
      </c>
      <c r="B21" s="9" t="s">
        <v>23</v>
      </c>
      <c r="C21" s="6">
        <v>245.18</v>
      </c>
      <c r="D21" s="6"/>
      <c r="E21" s="6">
        <f t="shared" si="1"/>
        <v>0</v>
      </c>
      <c r="F21" s="10"/>
      <c r="G21" s="10"/>
    </row>
    <row r="22" spans="1:7" x14ac:dyDescent="0.3">
      <c r="A22" s="5">
        <v>3106001</v>
      </c>
      <c r="B22" s="9" t="s">
        <v>20</v>
      </c>
      <c r="C22" s="6">
        <v>245.18</v>
      </c>
      <c r="D22" s="6"/>
      <c r="E22" s="6">
        <f>C22*D22</f>
        <v>0</v>
      </c>
      <c r="F22" s="10"/>
      <c r="G22" s="10"/>
    </row>
    <row r="23" spans="1:7" x14ac:dyDescent="0.3">
      <c r="A23" s="5">
        <v>3106004</v>
      </c>
      <c r="B23" s="9" t="s">
        <v>21</v>
      </c>
      <c r="C23" s="6">
        <v>245.18</v>
      </c>
      <c r="D23" s="6"/>
      <c r="E23" s="6">
        <f>C23*D23</f>
        <v>0</v>
      </c>
      <c r="F23" s="10"/>
      <c r="G23" s="10"/>
    </row>
    <row r="24" spans="1:7" x14ac:dyDescent="0.3">
      <c r="A24" s="5">
        <v>3106003</v>
      </c>
      <c r="B24" s="9" t="s">
        <v>22</v>
      </c>
      <c r="C24" s="6">
        <v>245.18</v>
      </c>
      <c r="D24" s="6"/>
      <c r="E24" s="6">
        <f>C24*D24</f>
        <v>0</v>
      </c>
      <c r="F24" s="10"/>
      <c r="G24" s="10"/>
    </row>
    <row r="25" spans="1:7" x14ac:dyDescent="0.3">
      <c r="A25" s="5">
        <v>3011001</v>
      </c>
      <c r="B25" s="9" t="s">
        <v>16</v>
      </c>
      <c r="C25" s="6">
        <v>260.42</v>
      </c>
      <c r="D25" s="6"/>
      <c r="E25" s="6">
        <f t="shared" si="1"/>
        <v>0</v>
      </c>
      <c r="F25" s="10"/>
      <c r="G25" s="10"/>
    </row>
    <row r="26" spans="1:7" x14ac:dyDescent="0.3">
      <c r="A26" s="5">
        <v>3011005</v>
      </c>
      <c r="B26" s="9" t="s">
        <v>24</v>
      </c>
      <c r="C26" s="6">
        <v>260.42</v>
      </c>
      <c r="D26" s="6"/>
      <c r="E26" s="6">
        <f t="shared" ref="E26:E34" si="2">C26*D26</f>
        <v>0</v>
      </c>
      <c r="F26" s="10"/>
      <c r="G26" s="10"/>
    </row>
    <row r="27" spans="1:7" x14ac:dyDescent="0.3">
      <c r="A27" s="5">
        <v>3011006</v>
      </c>
      <c r="B27" s="9" t="s">
        <v>25</v>
      </c>
      <c r="C27" s="6">
        <v>260.42</v>
      </c>
      <c r="D27" s="6"/>
      <c r="E27" s="6">
        <f t="shared" si="2"/>
        <v>0</v>
      </c>
      <c r="F27" s="10"/>
      <c r="G27" s="10"/>
    </row>
    <row r="28" spans="1:7" x14ac:dyDescent="0.3">
      <c r="A28" s="5">
        <v>3011007</v>
      </c>
      <c r="B28" s="9" t="s">
        <v>26</v>
      </c>
      <c r="C28" s="6">
        <v>261.85000000000002</v>
      </c>
      <c r="D28" s="6"/>
      <c r="E28" s="6">
        <f t="shared" si="2"/>
        <v>0</v>
      </c>
      <c r="F28" s="10"/>
      <c r="G28" s="10"/>
    </row>
    <row r="29" spans="1:7" x14ac:dyDescent="0.3">
      <c r="A29" s="5">
        <v>3011013</v>
      </c>
      <c r="B29" s="9" t="s">
        <v>27</v>
      </c>
      <c r="C29" s="6">
        <v>261.85000000000002</v>
      </c>
      <c r="D29" s="6"/>
      <c r="E29" s="6">
        <f t="shared" si="2"/>
        <v>0</v>
      </c>
      <c r="F29" s="10"/>
      <c r="G29" s="10"/>
    </row>
    <row r="30" spans="1:7" x14ac:dyDescent="0.3">
      <c r="A30" s="5">
        <v>3011014</v>
      </c>
      <c r="B30" s="9" t="s">
        <v>28</v>
      </c>
      <c r="C30" s="6">
        <v>261.85000000000002</v>
      </c>
      <c r="D30" s="6"/>
      <c r="E30" s="6">
        <f t="shared" si="2"/>
        <v>0</v>
      </c>
      <c r="F30" s="10"/>
      <c r="G30" s="10"/>
    </row>
    <row r="31" spans="1:7" x14ac:dyDescent="0.3">
      <c r="A31" s="5">
        <v>3012003</v>
      </c>
      <c r="B31" s="9" t="s">
        <v>29</v>
      </c>
      <c r="C31" s="6">
        <v>129.13</v>
      </c>
      <c r="D31" s="6"/>
      <c r="E31" s="6">
        <f t="shared" si="2"/>
        <v>0</v>
      </c>
      <c r="F31" s="10"/>
      <c r="G31" s="10"/>
    </row>
    <row r="32" spans="1:7" x14ac:dyDescent="0.3">
      <c r="A32" s="5">
        <v>3012005</v>
      </c>
      <c r="B32" s="9" t="s">
        <v>30</v>
      </c>
      <c r="C32" s="6">
        <v>129.13</v>
      </c>
      <c r="D32" s="6"/>
      <c r="E32" s="6">
        <f t="shared" si="2"/>
        <v>0</v>
      </c>
      <c r="F32" s="10"/>
      <c r="G32" s="10"/>
    </row>
    <row r="33" spans="1:7" x14ac:dyDescent="0.3">
      <c r="A33" s="5">
        <v>3012014</v>
      </c>
      <c r="B33" s="9" t="s">
        <v>31</v>
      </c>
      <c r="C33" s="6">
        <v>129.13</v>
      </c>
      <c r="D33" s="6"/>
      <c r="E33" s="6">
        <f t="shared" si="2"/>
        <v>0</v>
      </c>
      <c r="F33" s="10"/>
      <c r="G33" s="10"/>
    </row>
    <row r="34" spans="1:7" x14ac:dyDescent="0.3">
      <c r="A34" s="5">
        <v>3012023</v>
      </c>
      <c r="B34" s="9" t="s">
        <v>32</v>
      </c>
      <c r="C34" s="6">
        <v>129.13</v>
      </c>
      <c r="D34" s="6"/>
      <c r="E34" s="6">
        <f t="shared" si="2"/>
        <v>0</v>
      </c>
      <c r="F34" s="10"/>
      <c r="G34" s="10"/>
    </row>
    <row r="35" spans="1:7" x14ac:dyDescent="0.3">
      <c r="A35" s="2"/>
      <c r="B35" s="18" t="s">
        <v>34</v>
      </c>
      <c r="C35" s="18"/>
      <c r="D35" s="18"/>
      <c r="E35" s="18"/>
      <c r="F35" s="13"/>
      <c r="G35" s="13"/>
    </row>
    <row r="36" spans="1:7" x14ac:dyDescent="0.3">
      <c r="C36" s="3"/>
      <c r="D36" s="3"/>
      <c r="E36" s="3">
        <f>SUM(E4:E34)</f>
        <v>0</v>
      </c>
    </row>
  </sheetData>
  <mergeCells count="3">
    <mergeCell ref="B2:E2"/>
    <mergeCell ref="A1:E1"/>
    <mergeCell ref="B35:E35"/>
  </mergeCells>
  <pageMargins left="0.511811024" right="0.511811024" top="0.78740157499999996" bottom="0.78740157499999996" header="0.31496062000000002" footer="0.31496062000000002"/>
  <pageSetup paperSize="9" scale="86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Lopes</dc:creator>
  <cp:lastModifiedBy>Rafaela Mirandola Félix</cp:lastModifiedBy>
  <cp:lastPrinted>2024-09-23T12:40:59Z</cp:lastPrinted>
  <dcterms:created xsi:type="dcterms:W3CDTF">2020-11-09T15:35:43Z</dcterms:created>
  <dcterms:modified xsi:type="dcterms:W3CDTF">2025-03-14T13:48:49Z</dcterms:modified>
</cp:coreProperties>
</file>